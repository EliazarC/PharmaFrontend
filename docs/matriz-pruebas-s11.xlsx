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esumen" sheetId="2" state="visible" r:id="rId4"/>
    <sheet name="Evidencia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<sst xmlns="http://schemas.openxmlformats.org/spreadsheetml/2006/main" count="281" uniqueCount="179">
  <si>
    <t xml:space="preserve">ID</t>
  </si>
  <si>
    <t xml:space="preserve">Grupo</t>
  </si>
  <si>
    <t xml:space="preserve">Usuario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</si>
  <si>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</si>
  <si>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</si>
  <si>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</si>
  <si>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</si>
  <si>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Evidencia</t>
  </si>
  <si>
    <t xml:space="preserve">L-01</t>
  </si>
  <si>
    <t xml:space="preserve">Login</t>
  </si>
  <si>
    <t xml:space="preserve">(sin sesión)</t>
  </si>
  <si>
    <t xml:space="preserve">1) Abrir http://localhost:4200/login con F12 &gt; Red abierta. 2) Pulsar «Ingresar» con el formulario vacío. 3) Escribir solo el usuario «admin» y pulsar «Ingresar».</t>
  </si>
  <si>
    <t xml:space="preserve">Paso 2: mensajes «Ingrese su usuario.» e «Ingrese su contraseña.». Paso 3: solo el mensaje de contraseña. En ambos pasos no aparece ningún POST /auth/login en Red.</t>
  </si>
  <si>
    <t xml:space="preserve">Pendiente</t>
  </si>
  <si>
    <t xml:space="preserve">L-01.png — /login con los mensajes de validación y pestaña Red sin POST a /auth/login.</t>
  </si>
  <si>
    <t xml:space="preserve">L-02</t>
  </si>
  <si>
    <t xml:space="preserve">admin; inactivo; usuario inexistente</t>
  </si>
  <si>
    <t xml:space="preserve">1) Usuario «admin» con contraseña incorrecta. 2) Usuario inexistente (p. ej. «noexiste»). 3) «inactivo» / Inactivo2026*. En cada intento anotar el estado HTTP de POST /auth/login en Red.</t>
  </si>
  <si>
    <t xml:space="preserve">Los tres intentos muestran el mismo mensaje «Usuario o contraseña incorrectos.»; se permanece en /login sin recargar la página; el campo contraseña se vacía; el mensaje no revela cuál dato falló ni que la cuenta inactiva existe. Registrar el código real (se espera 401).</t>
  </si>
  <si>
    <t xml:space="preserve">L-02.png — mensaje en el formulario; L-02_red.png — filas de login en Red con su estado.</t>
  </si>
  <si>
    <t xml:space="preserve">L-03</t>
  </si>
  <si>
    <t xml:space="preserve">vendedor</t>
  </si>
  <si>
    <t xml:space="preserve">1) En /login escribir vendedor / Vendedor2026*. 2) Hacer doble clic rápido en «Ingresar». 3) Revisar en Red cuántos POST /auth/login salieron.</t>
  </si>
  <si>
    <t xml:space="preserve">El botón pasa a «Ingresando…» y queda deshabilitado tras el primer clic; sale un único POST /auth/login y se navega a /inicio (o a la returnUrl).</t>
  </si>
  <si>
    <t xml:space="preserve">L-03.png — pestaña Red con un solo POST /auth/login y la pantalla de destino.</t>
  </si>
  <si>
    <t xml:space="preserve">L-04</t>
  </si>
  <si>
    <t xml:space="preserve">admin</t>
  </si>
  <si>
    <t xml:space="preserve">1) Abrir /login?returnUrl=https%3A%2F%2Fexample.com e iniciar sesión con admin / Admin2026*. 2) Cerrar sesión y repetir con returnUrl=%2F%2Fexample.com. 3) Cerrar sesión y repetir con returnUrl=%2F%5Cexample.com. 4) Control: returnUrl=%2Fventas.</t>
  </si>
  <si>
    <t xml:space="preserve">Pasos 1–3: la SPA entra a /inicio y la barra de direcciones sigue en localhost:4200 (no hay redirección abierta). Paso 4: entra a /ventas.</t>
  </si>
  <si>
    <t xml:space="preserve">L-04.png — barra de direcciones en localhost:4200/inicio tras el login con returnUrl externo.</t>
  </si>
  <si>
    <t xml:space="preserve">S-01</t>
  </si>
  <si>
    <t xml:space="preserve">Sesión</t>
  </si>
  <si>
    <t xml:space="preserve">1) Iniciar sesión y abrir /productos. 2) Pulsar F5. 3) Revisar Aplicación &gt; Almacenamiento de sesión. 4) Cerrar TODO el navegador, reabrirlo y entrar a http://localhost:4200/productos.</t>
  </si>
  <si>
    <t xml:space="preserve">Tras F5 se mantiene la sesión en /productos. Existe la clave pharmasoft.sesion con token, expiraEn y permisos. Tras cerrar y reabrir el navegador la clave ya no existe y se llega a /login?returnUrl=%2Fproductos.</t>
  </si>
  <si>
    <t xml:space="preserve">S-01.png — Almacenamiento de sesión con pharmasoft.sesion (token recortado); S-01_reabrir.png — login tras reabrir.</t>
  </si>
  <si>
    <t xml:space="preserve">S-02</t>
  </si>
  <si>
    <t xml:space="preserve">1) Iniciar sesión y abrir /productos. 2) En Almacenamiento de sesión editar pharmasoft.sesion y poner expiraEn en un valor pasado (p. ej. 1700000000000). 3) Pulsar F5.</t>
  </si>
  <si>
    <t xml:space="preserve">La SPA descarta la sesión guardada: la clave se elimina y se llega a /login?returnUrl=%2Fproductos. Según el código, el aviso «Su sesión expiró» NO se muestra aquí, porque la lectura inicial descarta la sesión en silencio. Registrar lo observado.</t>
  </si>
  <si>
    <t xml:space="preserve">S-02.png — login y almacenamiento sin la clave pharmasoft.sesion.</t>
  </si>
  <si>
    <t xml:space="preserve">S-03</t>
  </si>
  <si>
    <t xml:space="preserve">1) Iniciar sesión. 2) Reemplazar el valor de pharmasoft.sesion por texto que no sea JSON (p. ej. esto no es json). 3) Pulsar F5. 4) Revisar la consola.</t>
  </si>
  <si>
    <t xml:space="preserve">No hay pantalla en blanco ni excepción sin controlar: la clave se elimina y se llega a /login?returnUrl=… . La consola no muestra errores no capturados.</t>
  </si>
  <si>
    <t xml:space="preserve">S-03.png — login y consola sin errores.</t>
  </si>
  <si>
    <t xml:space="preserve">S-04</t>
  </si>
  <si>
    <t xml:space="preserve">1) Iniciar sesión en la pestaña A. 2) Abrir una pestaña nueva B con la misma dirección. 3) En B iniciar sesión también. 4) Cerrar sesión en A. 5) En B navegar a /productos.</t>
  </si>
  <si>
    <t xml:space="preserve">sessionStorage es por pestaña: B pide login por sí misma y el cierre de A no cierra B, que sigue operando hasta vencer su token o recibir 401. Anotar si el comportamiento coincide (posible limitación a documentar en el informe).</t>
  </si>
  <si>
    <t xml:space="preserve">S-04_A.png y S-04_B.png — ambas pestañas tras el cierre en A.</t>
  </si>
  <si>
    <t xml:space="preserve">I-01</t>
  </si>
  <si>
    <t xml:space="preserve">Interceptor</t>
  </si>
  <si>
    <t xml:space="preserve">1) Iniciar sesión (observar POST /auth/login en Red). 2) Abrir /productos y seleccionar GET /productos. 3) Revisar los encabezados de solicitud de ambas peticiones. 4) Ejecutar «npm test» y verificar que auth-interceptor.spec.ts pasa (cubre la petición a un dominio externo).</t>
  </si>
  <si>
    <t xml:space="preserve">GET /productos lleva Authorization: Bearer eyJ… ; POST /auth/login no lleva Authorization; la petición a un dominio externo no lleva Authorization (prueba automática).</t>
  </si>
  <si>
    <t xml:space="preserve">I-01_api.png, I-01_login.png (encabezados, token recortado) e I-01_test.png (salida de npm test).</t>
  </si>
  <si>
    <t xml:space="preserve">I-02</t>
  </si>
  <si>
    <t xml:space="preserve">1) Iniciar sesión y abrir /productos. 2) Detener PharmaBackend. 3) Pulsar «Actualizar» o recargar la lista desde la SPA (sin F5). 4) Revisar el encabezado y el almacenamiento de sesión.</t>
  </si>
  <si>
    <t xml:space="preserve">Aparece el mensaje de falta de conexión («No se pudo conectar con el servidor…»), el estado de la petición es 0/Failed; la sesión NO se cierra: sigue el encabezado con el usuario y pharmasoft.sesion existe; no hay redirección a /login.</t>
  </si>
  <si>
    <t xml:space="preserve">I-02.png — mensaje de conexión con el encabezado mostrando la sesión activa.</t>
  </si>
  <si>
    <t xml:space="preserve">I-03</t>
  </si>
  <si>
    <t xml:space="preserve">1) Iniciar sesión y abrir /productos. 2) Cambiar un carácter del token en pharmasoft.sesion. 3) Pulsar F5. 4) Revisar Red y la pantalla final.</t>
  </si>
  <si>
    <t xml:space="preserve">GET /productos responde 401; errorInterceptor cierra la sesión; se llega a /login?expirada=1&amp;returnUrl=%2Fproductos con el aviso «Su sesión expiró. Inicie sesión nuevamente.»; la clave pharmasoft.sesion desaparece.</t>
  </si>
  <si>
    <t xml:space="preserve">I-03_red.png (401 en Red) e I-03_login.png (login con el aviso).</t>
  </si>
  <si>
    <t xml:space="preserve">G-01</t>
  </si>
  <si>
    <t xml:space="preserve">Guards</t>
  </si>
  <si>
    <t xml:space="preserve">Con el navegador sin sesión, escribir una por una: /ventas, /productos, /categorias, /productos/nuevo, /reportes/ventas-categoria, /mi-cuenta. (Verificar contra el PDF oficial de la actividad si la lista de rutas difiere.)</t>
  </si>
  <si>
    <t xml:space="preserve">Cada ruta redirige a /login?returnUrl=&lt;ruta pedida codificada&gt;; no se ve contenido protegido ni se hace ninguna petición a la API.</t>
  </si>
  <si>
    <t xml:space="preserve">G-01.png — barra de direcciones con returnUrl (una captura por ruta o un collage).</t>
  </si>
  <si>
    <t xml:space="preserve">G-02</t>
  </si>
  <si>
    <t xml:space="preserve">vendedor; almacen</t>
  </si>
  <si>
    <t xml:space="preserve">1) vendedor: escribir /productos/nuevo, /productos/1/editar y /categorias/nuevo. 2) Cerrar sesión; almacen: escribir /ventas. 3) Control: supervisor abre /ventas y /productos/nuevo.</t>
  </si>
  <si>
    <t xml:space="preserve">vendedor y almacen llegan a «403 · Acceso denegado» (permisoGuard) sin cerrar la sesión; supervisor sí puede abrir ambas rutas.</t>
  </si>
  <si>
    <t xml:space="preserve">G-02.png — página «403 · Acceso denegado» con el encabezado del usuario.</t>
  </si>
  <si>
    <t xml:space="preserve">M-01</t>
  </si>
  <si>
    <t xml:space="preserve">Menú y acciones</t>
  </si>
  <si>
    <t xml:space="preserve">admin; vendedor; almacen; supervisor</t>
  </si>
  <si>
    <t xml:space="preserve">Para cada usuario: iniciar sesión y registrar los ítems del menú lateral y, en Categorías, Productos y Ventas, la presencia de «+ Nuevo…», «Editar», «Dar de baja» y la columna Acciones. Comparar con la tabla de la guía (sección 1.3).</t>
  </si>
  <si>
    <t xml:space="preserve">admin: Inicio, Categorías, Productos, Ventas con todas las acciones. vendedor: Inicio, Categorías, Productos (solo lectura), Ventas. almacen: Inicio, Categorías, Productos con edición, sin Ventas. supervisor: todo, con edición del catálogo. Anotar si aparece «Reporte por categoría» (REPORTES_VER) y a quién.</t>
  </si>
  <si>
    <t xml:space="preserve">M-01_admin.png, M-01_vendedor.png, M-01_almacen.png, M-01_supervisor.png.</t>
  </si>
  <si>
    <t xml:space="preserve">M-02</t>
  </si>
  <si>
    <t xml:space="preserve">admin; almacen</t>
  </si>
  <si>
    <t xml:space="preserve">1) Iniciar sesión como admin y observar el menú. 2) Pulsar «Cerrar sesión». 3) Sin recargar la página (sin F5) iniciar sesión como almacen. 4) Observar el menú y los botones.</t>
  </si>
  <si>
    <t xml:space="preserve">El menú se recalcula al instante: almacen no ve Ventas y sí ve las acciones de edición del catálogo; no queda ningún resto del menú de admin.</t>
  </si>
  <si>
    <t xml:space="preserve">M-02_admin.png y M-02_almacen.png.</t>
  </si>
  <si>
    <t xml:space="preserve">E-01</t>
  </si>
  <si>
    <t xml:space="preserve">Respuesta 403</t>
  </si>
  <si>
    <t xml:space="preserve">1) Iniciar sesión como vendedor. 2) En pharmasoft.sesion agregar «CATALOGO_ESCRIBIR» al arreglo permisos (solo para esta prueba de que ocultar no es proteger) y pulsar F5. 3) Abrir /productos/nuevo, completar el formulario y guardar. 4) Revisar Red y la pantalla.</t>
  </si>
  <si>
    <t xml:space="preserve">El backend responde 403 al POST de productos aunque el JavaScript lo permitió; la SPA muestra el mensaje del backend en el formulario; la sesión se conserva (no hay redirección a /login ni se borra pharmasoft.sesion).</t>
  </si>
  <si>
    <t xml:space="preserve">E-01_red.png (403 en Red) y E-01.png (mensaje de error con la sesión activa).</t>
  </si>
  <si>
    <t xml:space="preserve">P-01</t>
  </si>
  <si>
    <t xml:space="preserve">1) Con sesión iniciada escribir /login. 2) Escribir una ruta inexistente (p. ej. /xyz).</t>
  </si>
  <si>
    <t xml:space="preserve">/login redirige a /inicio (invitadoGuard). La ruta inexistente muestra «404 · Página no encontrada».</t>
  </si>
  <si>
    <t xml:space="preserve">P-01.png — destino /inicio y página 404.</t>
  </si>
  <si>
    <t xml:space="preserve">P-02</t>
  </si>
  <si>
    <t xml:space="preserve">Mi cuenta</t>
  </si>
  <si>
    <t xml:space="preserve">Con cada usuario abrir «Mi cuenta» desde el encabezado. Comparar nombre, usuario, roles y marcas ✔/✘ por módulo con lo que muestra la respuesta de GET /auth/me en Red y con el menú. Verificar que NO aparece el aviso de cambio de permisos.</t>
  </si>
  <si>
    <t xml:space="preserve">La página carga sin importar el rol; muestra nombre completo, usuario, roles como etiquetas y los permisos de Catálogo, Clientes, Ventas, Reportes y Usuarios con ✔ o ✘ coherentes con GET /auth/me; sin aviso de permisos modificados.</t>
  </si>
  <si>
    <t xml:space="preserve">P-02_&lt;usuario&gt;.png y P-02_red.png (GET /auth/me con Authorization recortado).</t>
  </si>
  <si>
    <t xml:space="preserve">P-03</t>
  </si>
  <si>
    <t xml:space="preserve">1) Iniciar sesión, abrir /productos y pulsar «Cerrar sesión». 2) Revisar el almacenamiento. 3) Con el botón Atrás del navegador intentar volver a /productos.</t>
  </si>
  <si>
    <t xml:space="preserve">Se llega a /login; pharmasoft.sesion ya no existe; al volver atrás se redirige otra vez a /login?returnUrl=%2Fproductos sin mostrar datos.</t>
  </si>
  <si>
    <t xml:space="preserve">P-03.png — login y almacenamiento sin sesión.</t>
  </si>
  <si>
    <t xml:space="preserve">P-04</t>
  </si>
  <si>
    <t xml:space="preserve">Accesibilidad</t>
  </si>
  <si>
    <t xml:space="preserve">1) En /login recorrer el formulario solo con teclado (Tab, Espacio, Enter). 2) Con el aviso de sesión visible (ver B-01), llegar con Tab a «Cerrar sesión ahora» y a «Ocultar aviso de vencimiento». 3) Si dispone de lector de pantalla, comprobar que el aviso se anuncia una vez y no cada segundo.</t>
  </si>
  <si>
    <t xml:space="preserve">Todos los controles son alcanzables y muestran foco visible; los botones del aviso tienen nombre accesible; el aviso (role=status) se anuncia sin repetir la cuenta regresiva.</t>
  </si>
  <si>
    <t xml:space="preserve">P-04.png — foco visible sobre un botón del aviso.</t>
  </si>
  <si>
    <t xml:space="preserve">B-01</t>
  </si>
  <si>
    <t xml:space="preserve">Aviso de expiración</t>
  </si>
  <si>
    <t xml:space="preserve">Preparación: poner app.jwt.expiracion-minutos: 3 en el backend y reiniciarlo (restaurar a 60 al terminar). 1) Iniciar sesión y abrir /productos. 2) Esperar ~1 minuto. 3) Observar la parte superior derecha.</t>
  </si>
  <si>
    <t xml:space="preserve">Cuando restan 120 s o menos aparece un aviso fijo «⚠ Su sesión vence en 02:00» (aprox.), con los botones «Cerrar sesión ahora» y «×». Antes de ese momento no hay aviso.</t>
  </si>
  <si>
    <t xml:space="preserve">B-01.png — aviso visible con el tiempo restante.</t>
  </si>
  <si>
    <t xml:space="preserve">B-02</t>
  </si>
  <si>
    <t xml:space="preserve">Continuar B-01 durante unos 10–20 segundos observando el contador; cambiar de ruta (p. ej. a /ventas y a /mi-cuenta) y volver a mirar.</t>
  </si>
  <si>
    <t xml:space="preserve">El contador baja un segundo por vez con formato mm:ss (con ceros a la izquierda); no se duplica el aviso al navegar y sigue mostrando el tiempo real.</t>
  </si>
  <si>
    <t xml:space="preserve">B-02_a.png y B-02_b.png — dos capturas con unos segundos de diferencia.</t>
  </si>
  <si>
    <t xml:space="preserve">B-03</t>
  </si>
  <si>
    <t xml:space="preserve">Con el aviso visible pulsar «×».</t>
  </si>
  <si>
    <t xml:space="preserve">El aviso desaparece, la sesión continúa (encabezado y peticiones siguen funcionando), el token no se renueva y no vuelve a mostrarse en esta sesión. Al iniciar una sesión nueva sí puede mostrarse otra vez.</t>
  </si>
  <si>
    <t xml:space="preserve">B-03.png — pantalla sin aviso con la sesión activa.</t>
  </si>
  <si>
    <t xml:space="preserve">B-04</t>
  </si>
  <si>
    <t xml:space="preserve">Sin ocultar el aviso, dejar llegar el contador a 00:00. Después revisar Red, el almacenamiento y (en la consola) que no haya errores.</t>
  </si>
  <si>
    <t xml:space="preserve">Al llegar a cero se cierra la sesión y la SPA va a /login?expirada=1&amp;returnUrl=… con «Su sesión expiró. Inicie sesión nuevamente.»; pharmasoft.sesion desaparece; no se siguen haciendo peticiones ni quedan temporizadores (el contador no sigue corriendo).</t>
  </si>
  <si>
    <t xml:space="preserve">B-04.png — login con el aviso de expiración.</t>
  </si>
  <si>
    <t xml:space="preserve">Total</t>
  </si>
  <si>
    <t xml:space="preserve">Aprobados</t>
  </si>
  <si>
    <t xml:space="preserve">Fallidos</t>
  </si>
  <si>
    <t xml:space="preserve">Pendientes</t>
  </si>
  <si>
    <t xml:space="preserve">TOTAL</t>
  </si>
  <si>
    <t xml:space="preserve">Ejecutadas (Aprobados + Fallidos)</t>
  </si>
  <si>
    <t xml:space="preserve">Nota: las cifras se calculan solas a partir de la columna Estado de la hoja Matriz. Mientras todo esté «Pendiente», ninguna prueba se considera ejecutada.</t>
  </si>
  <si>
    <t xml:space="preserve">Archivo(s) esperado(s) en docs/evidencias/</t>
  </si>
  <si>
    <t xml:space="preserve">Qué debe verse</t>
  </si>
  <si>
    <t xml:space="preserve">L-01.png</t>
  </si>
  <si>
    <t xml:space="preserve">/login con los mensajes de validación y pestaña Red sin POST a /auth/login.</t>
  </si>
  <si>
    <t xml:space="preserve">L-02.png</t>
  </si>
  <si>
    <t xml:space="preserve">mensaje en el formulario; L-02_red.png — filas de login en Red con su estado.</t>
  </si>
  <si>
    <t xml:space="preserve">L-03.png</t>
  </si>
  <si>
    <t xml:space="preserve">pestaña Red con un solo POST /auth/login y la pantalla de destino.</t>
  </si>
  <si>
    <t xml:space="preserve">L-04.png</t>
  </si>
  <si>
    <t xml:space="preserve">barra de direcciones en localhost:4200/inicio tras el login con returnUrl externo.</t>
  </si>
  <si>
    <t xml:space="preserve">S-01.png</t>
  </si>
  <si>
    <t xml:space="preserve">Almacenamiento de sesión con pharmasoft.sesion (token recortado); S-01_reabrir.png — login tras reabrir.</t>
  </si>
  <si>
    <t xml:space="preserve">S-02.png</t>
  </si>
  <si>
    <t xml:space="preserve">login y almacenamiento sin la clave pharmasoft.sesion.</t>
  </si>
  <si>
    <t xml:space="preserve">S-03.png</t>
  </si>
  <si>
    <t xml:space="preserve">login y consola sin errores.</t>
  </si>
  <si>
    <t xml:space="preserve">S-04_A.png y S-04_B.png</t>
  </si>
  <si>
    <t xml:space="preserve">ambas pestañas tras el cierre en A.</t>
  </si>
  <si>
    <t xml:space="preserve">I-02.png</t>
  </si>
  <si>
    <t xml:space="preserve">mensaje de conexión con el encabezado mostrando la sesión activa.</t>
  </si>
  <si>
    <t xml:space="preserve">G-01.png</t>
  </si>
  <si>
    <t xml:space="preserve">barra de direcciones con returnUrl (una captura por ruta o un collage).</t>
  </si>
  <si>
    <t xml:space="preserve">G-02.png</t>
  </si>
  <si>
    <t xml:space="preserve">página «403 · Acceso denegado» con el encabezado del usuario.</t>
  </si>
  <si>
    <t xml:space="preserve">P-01.png</t>
  </si>
  <si>
    <t xml:space="preserve">destino /inicio y página 404.</t>
  </si>
  <si>
    <t xml:space="preserve">P-03.png</t>
  </si>
  <si>
    <t xml:space="preserve">login y almacenamiento sin sesión.</t>
  </si>
  <si>
    <t xml:space="preserve">P-04.png</t>
  </si>
  <si>
    <t xml:space="preserve">foco visible sobre un botón del aviso.</t>
  </si>
  <si>
    <t xml:space="preserve">B-01.png</t>
  </si>
  <si>
    <t xml:space="preserve">aviso visible con el tiempo restante.</t>
  </si>
  <si>
    <t xml:space="preserve">B-02_a.png y B-02_b.png</t>
  </si>
  <si>
    <t xml:space="preserve">dos capturas con unos segundos de diferencia.</t>
  </si>
  <si>
    <t xml:space="preserve">B-03.png</t>
  </si>
  <si>
    <t xml:space="preserve">pantalla sin aviso con la sesión activa.</t>
  </si>
  <si>
    <t xml:space="preserve">B-04.png</t>
  </si>
  <si>
    <t xml:space="preserve">login con el aviso de expiración.</t>
  </si>
  <si>
    <t xml:space="preserve">CÓMO EJECUTAR LA MATRIZ</t>
  </si>
  <si>
    <t xml:space="preserve">1) Backend PharmaBackend en ejecución (puerto del environment: 8080 con «ng serve», 8081 con build de producción) y SPA con «npm start».</t>
  </si>
  <si>
    <t xml:space="preserve">2) Usuarios (guía S11): admin/Admin2026*, vendedor/Vendedor2026*, almacen/Almacen2026*, supervisor/Supervisor2026*, inactivo/Inactivo2026*.</t>
  </si>
  <si>
    <t xml:space="preserve">3) Abrir F12: pestañas Red y Aplicación &gt; Almacenamiento de sesión.</t>
  </si>
  <si>
    <t xml:space="preserve">4) Ejecutar cada caso, completar «Resultado obtenido» con lo realmente observado y elegir Estado = Aprobado o Fallido.</t>
  </si>
  <si>
    <t xml:space="preserve">5) Guardar la captura en docs/evidencias/ con el nombre indicado en la hoja Evidencias.</t>
  </si>
  <si>
    <t xml:space="preserve">CASOS B-01 A B-04 (aviso de expiración)</t>
  </si>
  <si>
    <t xml:space="preserve">Solo para la prueba: en PharmaBackend cambiar app.jwt.expiracion-minutos a 3 y reiniciarlo. Al terminar, restaurar el valor a 60. No se modifica el backend como parte de la entrega.</t>
  </si>
  <si>
    <t xml:space="preserve">EVIDENCIAS — PRIVACIDAD</t>
  </si>
  <si>
    <t xml:space="preserve">Nunca dejar visible el token JWT completo. Recortar o tapar la captura de modo que solo se vean los primeros caracteres (eyJ…).</t>
  </si>
  <si>
    <t xml:space="preserve">No inventar capturas ni resultados: un caso no ejecutado debe quedar como «Pendiente».</t>
  </si>
  <si>
    <t xml:space="preserve">NOTA</t>
  </si>
  <si>
    <t xml:space="preserve">Los casos L/S/I/G/M/E conservan los identificadores del enunciado y se redactaron a partir de la guía práctica de la Sesión 11 (Paso 11) y del comportamiento del código. Verifique rutas y usuarios contra el PDF oficial de la actividad autónoma, que no se recibió por separado.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</si>
</sst>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2E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E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55"/>
    <col collapsed="false" customWidth="true" hidden="false" outlineLevel="0" max="6" min="6" style="0" width="35"/>
    <col collapsed="false" customWidth="true" hidden="false" outlineLevel="0" max="7" min="7" style="0" width="12"/>
    <col collapsed="false" customWidth="true" hidden="false" outlineLevel="0" max="8" min="8" style="0" width="3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3" t="s">
        <v>13</v>
      </c>
      <c r="H2" s="2" t="s">
        <v>14</v>
      </c>
    </row>
    <row r="3" customFormat="false" ht="57.45" hidden="false" customHeight="false" outlineLevel="0" collapsed="false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3"/>
      <c r="G3" s="3" t="s">
        <v>13</v>
      </c>
      <c r="H3" s="2" t="s">
        <v>19</v>
      </c>
    </row>
    <row r="4" customFormat="false" ht="35.05" hidden="false" customHeight="false" outlineLevel="0" collapsed="false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3"/>
      <c r="G4" s="3" t="s">
        <v>13</v>
      </c>
      <c r="H4" s="2" t="s">
        <v>24</v>
      </c>
    </row>
    <row r="5" customFormat="false" ht="46.25" hidden="false" customHeight="false" outlineLevel="0" collapsed="false">
      <c r="A5" s="2" t="s">
        <v>25</v>
      </c>
      <c r="B5" s="2" t="s">
        <v>9</v>
      </c>
      <c r="C5" s="2" t="s">
        <v>26</v>
      </c>
      <c r="D5" s="2" t="s">
        <v>27</v>
      </c>
      <c r="E5" s="2" t="s">
        <v>28</v>
      </c>
      <c r="F5" s="3"/>
      <c r="G5" s="3" t="s">
        <v>13</v>
      </c>
      <c r="H5" s="2" t="s">
        <v>29</v>
      </c>
    </row>
    <row r="6" customFormat="false" ht="46.25" hidden="false" customHeight="false" outlineLevel="0" collapsed="false">
      <c r="A6" s="2" t="s">
        <v>30</v>
      </c>
      <c r="B6" s="2" t="s">
        <v>31</v>
      </c>
      <c r="C6" s="2" t="s">
        <v>21</v>
      </c>
      <c r="D6" s="2" t="s">
        <v>32</v>
      </c>
      <c r="E6" s="2" t="s">
        <v>33</v>
      </c>
      <c r="F6" s="3"/>
      <c r="G6" s="3" t="s">
        <v>13</v>
      </c>
      <c r="H6" s="2" t="s">
        <v>34</v>
      </c>
    </row>
    <row r="7" customFormat="false" ht="46.25" hidden="false" customHeight="false" outlineLevel="0" collapsed="false">
      <c r="A7" s="2" t="s">
        <v>35</v>
      </c>
      <c r="B7" s="2" t="s">
        <v>31</v>
      </c>
      <c r="C7" s="2" t="s">
        <v>21</v>
      </c>
      <c r="D7" s="2" t="s">
        <v>36</v>
      </c>
      <c r="E7" s="2" t="s">
        <v>37</v>
      </c>
      <c r="F7" s="3"/>
      <c r="G7" s="3" t="s">
        <v>13</v>
      </c>
      <c r="H7" s="2" t="s">
        <v>38</v>
      </c>
    </row>
    <row r="8" customFormat="false" ht="35.05" hidden="false" customHeight="false" outlineLevel="0" collapsed="false">
      <c r="A8" s="2" t="s">
        <v>39</v>
      </c>
      <c r="B8" s="2" t="s">
        <v>31</v>
      </c>
      <c r="C8" s="2" t="s">
        <v>21</v>
      </c>
      <c r="D8" s="2" t="s">
        <v>40</v>
      </c>
      <c r="E8" s="2" t="s">
        <v>41</v>
      </c>
      <c r="F8" s="3"/>
      <c r="G8" s="3" t="s">
        <v>13</v>
      </c>
      <c r="H8" s="2" t="s">
        <v>42</v>
      </c>
    </row>
    <row r="9" customFormat="false" ht="46.25" hidden="false" customHeight="false" outlineLevel="0" collapsed="false">
      <c r="A9" s="2" t="s">
        <v>43</v>
      </c>
      <c r="B9" s="2" t="s">
        <v>31</v>
      </c>
      <c r="C9" s="2" t="s">
        <v>21</v>
      </c>
      <c r="D9" s="2" t="s">
        <v>44</v>
      </c>
      <c r="E9" s="2" t="s">
        <v>45</v>
      </c>
      <c r="F9" s="3"/>
      <c r="G9" s="3" t="s">
        <v>13</v>
      </c>
      <c r="H9" s="2" t="s">
        <v>46</v>
      </c>
    </row>
    <row r="10" customFormat="false" ht="46.25" hidden="false" customHeight="false" outlineLevel="0" collapsed="false">
      <c r="A10" s="2" t="s">
        <v>47</v>
      </c>
      <c r="B10" s="2" t="s">
        <v>48</v>
      </c>
      <c r="C10" s="2" t="s">
        <v>21</v>
      </c>
      <c r="D10" s="2" t="s">
        <v>49</v>
      </c>
      <c r="E10" s="2" t="s">
        <v>50</v>
      </c>
      <c r="F10" s="3"/>
      <c r="G10" s="3" t="s">
        <v>13</v>
      </c>
      <c r="H10" s="2" t="s">
        <v>51</v>
      </c>
    </row>
    <row r="11" customFormat="false" ht="46.25" hidden="false" customHeight="false" outlineLevel="0" collapsed="false">
      <c r="A11" s="2" t="s">
        <v>52</v>
      </c>
      <c r="B11" s="2" t="s">
        <v>48</v>
      </c>
      <c r="C11" s="2" t="s">
        <v>21</v>
      </c>
      <c r="D11" s="2" t="s">
        <v>53</v>
      </c>
      <c r="E11" s="2" t="s">
        <v>54</v>
      </c>
      <c r="F11" s="3"/>
      <c r="G11" s="3" t="s">
        <v>13</v>
      </c>
      <c r="H11" s="2" t="s">
        <v>55</v>
      </c>
    </row>
    <row r="12" customFormat="false" ht="46.25" hidden="false" customHeight="false" outlineLevel="0" collapsed="false">
      <c r="A12" s="2" t="s">
        <v>56</v>
      </c>
      <c r="B12" s="2" t="s">
        <v>48</v>
      </c>
      <c r="C12" s="2" t="s">
        <v>21</v>
      </c>
      <c r="D12" s="2" t="s">
        <v>57</v>
      </c>
      <c r="E12" s="2" t="s">
        <v>58</v>
      </c>
      <c r="F12" s="3"/>
      <c r="G12" s="3" t="s">
        <v>13</v>
      </c>
      <c r="H12" s="2" t="s">
        <v>59</v>
      </c>
    </row>
    <row r="13" customFormat="false" ht="35.05" hidden="false" customHeight="false" outlineLevel="0" collapsed="false">
      <c r="A13" s="2" t="s">
        <v>60</v>
      </c>
      <c r="B13" s="2" t="s">
        <v>61</v>
      </c>
      <c r="C13" s="2" t="s">
        <v>10</v>
      </c>
      <c r="D13" s="2" t="s">
        <v>62</v>
      </c>
      <c r="E13" s="2" t="s">
        <v>63</v>
      </c>
      <c r="F13" s="3"/>
      <c r="G13" s="3" t="s">
        <v>13</v>
      </c>
      <c r="H13" s="2" t="s">
        <v>64</v>
      </c>
    </row>
    <row r="14" customFormat="false" ht="35.05" hidden="false" customHeight="false" outlineLevel="0" collapsed="false">
      <c r="A14" s="2" t="s">
        <v>65</v>
      </c>
      <c r="B14" s="2" t="s">
        <v>61</v>
      </c>
      <c r="C14" s="2" t="s">
        <v>66</v>
      </c>
      <c r="D14" s="2" t="s">
        <v>67</v>
      </c>
      <c r="E14" s="2" t="s">
        <v>68</v>
      </c>
      <c r="F14" s="3"/>
      <c r="G14" s="3" t="s">
        <v>13</v>
      </c>
      <c r="H14" s="2" t="s">
        <v>69</v>
      </c>
    </row>
    <row r="15" customFormat="false" ht="57.4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3"/>
      <c r="G15" s="3" t="s">
        <v>13</v>
      </c>
      <c r="H15" s="2" t="s">
        <v>75</v>
      </c>
    </row>
    <row r="16" customFormat="false" ht="35.05" hidden="false" customHeight="false" outlineLevel="0" collapsed="false">
      <c r="A16" s="2" t="s">
        <v>76</v>
      </c>
      <c r="B16" s="2" t="s">
        <v>71</v>
      </c>
      <c r="C16" s="2" t="s">
        <v>77</v>
      </c>
      <c r="D16" s="2" t="s">
        <v>78</v>
      </c>
      <c r="E16" s="2" t="s">
        <v>79</v>
      </c>
      <c r="F16" s="3"/>
      <c r="G16" s="3" t="s">
        <v>13</v>
      </c>
      <c r="H16" s="2" t="s">
        <v>80</v>
      </c>
    </row>
    <row r="17" customFormat="false" ht="46.25" hidden="false" customHeight="false" outlineLevel="0" collapsed="false">
      <c r="A17" s="2" t="s">
        <v>81</v>
      </c>
      <c r="B17" s="2" t="s">
        <v>82</v>
      </c>
      <c r="C17" s="2" t="s">
        <v>21</v>
      </c>
      <c r="D17" s="2" t="s">
        <v>83</v>
      </c>
      <c r="E17" s="2" t="s">
        <v>84</v>
      </c>
      <c r="F17" s="3"/>
      <c r="G17" s="3" t="s">
        <v>13</v>
      </c>
      <c r="H17" s="2" t="s">
        <v>85</v>
      </c>
    </row>
    <row r="18" customFormat="false" ht="23.85" hidden="false" customHeight="false" outlineLevel="0" collapsed="false">
      <c r="A18" s="2" t="s">
        <v>86</v>
      </c>
      <c r="B18" s="2" t="s">
        <v>61</v>
      </c>
      <c r="C18" s="2" t="s">
        <v>26</v>
      </c>
      <c r="D18" s="2" t="s">
        <v>87</v>
      </c>
      <c r="E18" s="2" t="s">
        <v>88</v>
      </c>
      <c r="F18" s="3"/>
      <c r="G18" s="3" t="s">
        <v>13</v>
      </c>
      <c r="H18" s="2" t="s">
        <v>89</v>
      </c>
    </row>
    <row r="19" customFormat="false" ht="46.25" hidden="false" customHeight="false" outlineLevel="0" collapsed="false">
      <c r="A19" s="2" t="s">
        <v>90</v>
      </c>
      <c r="B19" s="2" t="s">
        <v>91</v>
      </c>
      <c r="C19" s="2" t="s">
        <v>72</v>
      </c>
      <c r="D19" s="2" t="s">
        <v>92</v>
      </c>
      <c r="E19" s="2" t="s">
        <v>93</v>
      </c>
      <c r="F19" s="3"/>
      <c r="G19" s="3" t="s">
        <v>13</v>
      </c>
      <c r="H19" s="2" t="s">
        <v>94</v>
      </c>
    </row>
    <row r="20" customFormat="false" ht="35.05" hidden="false" customHeight="false" outlineLevel="0" collapsed="false">
      <c r="A20" s="2" t="s">
        <v>95</v>
      </c>
      <c r="B20" s="2" t="s">
        <v>31</v>
      </c>
      <c r="C20" s="2" t="s">
        <v>21</v>
      </c>
      <c r="D20" s="2" t="s">
        <v>96</v>
      </c>
      <c r="E20" s="2" t="s">
        <v>97</v>
      </c>
      <c r="F20" s="3"/>
      <c r="G20" s="3" t="s">
        <v>13</v>
      </c>
      <c r="H20" s="2" t="s">
        <v>98</v>
      </c>
    </row>
    <row r="21" customFormat="false" ht="57.45" hidden="false" customHeight="false" outlineLevel="0" collapsed="false">
      <c r="A21" s="2" t="s">
        <v>99</v>
      </c>
      <c r="B21" s="2" t="s">
        <v>100</v>
      </c>
      <c r="C21" s="2" t="s">
        <v>26</v>
      </c>
      <c r="D21" s="2" t="s">
        <v>101</v>
      </c>
      <c r="E21" s="2" t="s">
        <v>102</v>
      </c>
      <c r="F21" s="3"/>
      <c r="G21" s="3" t="s">
        <v>13</v>
      </c>
      <c r="H21" s="2" t="s">
        <v>103</v>
      </c>
    </row>
    <row r="22" customFormat="false" ht="35.05" hidden="false" customHeight="false" outlineLevel="0" collapsed="false">
      <c r="A22" s="2" t="s">
        <v>104</v>
      </c>
      <c r="B22" s="2" t="s">
        <v>105</v>
      </c>
      <c r="C22" s="2" t="s">
        <v>21</v>
      </c>
      <c r="D22" s="2" t="s">
        <v>106</v>
      </c>
      <c r="E22" s="2" t="s">
        <v>107</v>
      </c>
      <c r="F22" s="3"/>
      <c r="G22" s="3" t="s">
        <v>13</v>
      </c>
      <c r="H22" s="2" t="s">
        <v>108</v>
      </c>
    </row>
    <row r="23" customFormat="false" ht="35.05" hidden="false" customHeight="false" outlineLevel="0" collapsed="false">
      <c r="A23" s="2" t="s">
        <v>109</v>
      </c>
      <c r="B23" s="2" t="s">
        <v>105</v>
      </c>
      <c r="C23" s="2" t="s">
        <v>21</v>
      </c>
      <c r="D23" s="2" t="s">
        <v>110</v>
      </c>
      <c r="E23" s="2" t="s">
        <v>111</v>
      </c>
      <c r="F23" s="3"/>
      <c r="G23" s="3" t="s">
        <v>13</v>
      </c>
      <c r="H23" s="2" t="s">
        <v>112</v>
      </c>
    </row>
    <row r="24" customFormat="false" ht="46.25" hidden="false" customHeight="false" outlineLevel="0" collapsed="false">
      <c r="A24" s="2" t="s">
        <v>113</v>
      </c>
      <c r="B24" s="2" t="s">
        <v>105</v>
      </c>
      <c r="C24" s="2" t="s">
        <v>21</v>
      </c>
      <c r="D24" s="2" t="s">
        <v>114</v>
      </c>
      <c r="E24" s="2" t="s">
        <v>115</v>
      </c>
      <c r="F24" s="3"/>
      <c r="G24" s="3" t="s">
        <v>13</v>
      </c>
      <c r="H24" s="2" t="s">
        <v>116</v>
      </c>
    </row>
    <row r="25" customFormat="false" ht="57.45" hidden="false" customHeight="false" outlineLevel="0" collapsed="false">
      <c r="A25" s="2" t="s">
        <v>117</v>
      </c>
      <c r="B25" s="2" t="s">
        <v>105</v>
      </c>
      <c r="C25" s="2" t="s">
        <v>21</v>
      </c>
      <c r="D25" s="2" t="s">
        <v>118</v>
      </c>
      <c r="E25" s="2" t="s">
        <v>119</v>
      </c>
      <c r="F25" s="3"/>
      <c r="G25" s="3" t="s">
        <v>13</v>
      </c>
      <c r="H25" s="2" t="s">
        <v>120</v>
      </c>
    </row>
  </sheetData>
  <dataValidations count="1">
    <dataValidation allowBlank="false" errorStyle="stop" operator="between" showDropDown="false" showErrorMessage="false" showInputMessage="false" sqref="G2:G25" type="list">
      <formula1>"Pendiente,Aprobado,Fallido"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4" t="s">
        <v>1</v>
      </c>
      <c r="B1" s="4" t="s">
        <v>121</v>
      </c>
      <c r="C1" s="4" t="s">
        <v>122</v>
      </c>
      <c r="D1" s="4" t="s">
        <v>123</v>
      </c>
      <c r="E1" s="4" t="s">
        <v>124</v>
      </c>
    </row>
    <row r="2" customFormat="false" ht="15" hidden="false" customHeight="false" outlineLevel="0" collapsed="false">
      <c r="A2" s="5" t="s">
        <v>9</v>
      </c>
      <c r="B2" s="5" t="n">
        <f aca="false">COUNTIF(Matriz!$B$2:$B$25,A2)</f>
        <v>4</v>
      </c>
      <c r="C2" s="5" t="n">
        <f aca="false">COUNTIFS(Matriz!$B$2:$B$25,A2,Matriz!$G$2:$G$25,"Aprobado")</f>
        <v>0</v>
      </c>
      <c r="D2" s="5" t="n">
        <f aca="false">COUNTIFS(Matriz!$B$2:$B$25,A2,Matriz!$G$2:$G$25,"Fallido")</f>
        <v>0</v>
      </c>
      <c r="E2" s="5" t="n">
        <f aca="false">COUNTIFS(Matriz!$B$2:$B$25,A2,Matriz!$G$2:$G$25,"Pendiente")</f>
        <v>4</v>
      </c>
    </row>
    <row r="3" customFormat="false" ht="15" hidden="false" customHeight="false" outlineLevel="0" collapsed="false">
      <c r="A3" s="5" t="s">
        <v>31</v>
      </c>
      <c r="B3" s="5" t="n">
        <f aca="false">COUNTIF(Matriz!$B$2:$B$25,A3)</f>
        <v>5</v>
      </c>
      <c r="C3" s="5" t="n">
        <f aca="false">COUNTIFS(Matriz!$B$2:$B$25,A3,Matriz!$G$2:$G$25,"Aprobado")</f>
        <v>0</v>
      </c>
      <c r="D3" s="5" t="n">
        <f aca="false">COUNTIFS(Matriz!$B$2:$B$25,A3,Matriz!$G$2:$G$25,"Fallido")</f>
        <v>0</v>
      </c>
      <c r="E3" s="5" t="n">
        <f aca="false">COUNTIFS(Matriz!$B$2:$B$25,A3,Matriz!$G$2:$G$25,"Pendiente")</f>
        <v>5</v>
      </c>
    </row>
    <row r="4" customFormat="false" ht="15" hidden="false" customHeight="false" outlineLevel="0" collapsed="false">
      <c r="A4" s="5" t="s">
        <v>48</v>
      </c>
      <c r="B4" s="5" t="n">
        <f aca="false">COUNTIF(Matriz!$B$2:$B$25,A4)</f>
        <v>3</v>
      </c>
      <c r="C4" s="5" t="n">
        <f aca="false">COUNTIFS(Matriz!$B$2:$B$25,A4,Matriz!$G$2:$G$25,"Aprobado")</f>
        <v>0</v>
      </c>
      <c r="D4" s="5" t="n">
        <f aca="false">COUNTIFS(Matriz!$B$2:$B$25,A4,Matriz!$G$2:$G$25,"Fallido")</f>
        <v>0</v>
      </c>
      <c r="E4" s="5" t="n">
        <f aca="false">COUNTIFS(Matriz!$B$2:$B$25,A4,Matriz!$G$2:$G$25,"Pendiente")</f>
        <v>3</v>
      </c>
    </row>
    <row r="5" customFormat="false" ht="15" hidden="false" customHeight="false" outlineLevel="0" collapsed="false">
      <c r="A5" s="5" t="s">
        <v>61</v>
      </c>
      <c r="B5" s="5" t="n">
        <f aca="false">COUNTIF(Matriz!$B$2:$B$25,A5)</f>
        <v>3</v>
      </c>
      <c r="C5" s="5" t="n">
        <f aca="false">COUNTIFS(Matriz!$B$2:$B$25,A5,Matriz!$G$2:$G$25,"Aprobado")</f>
        <v>0</v>
      </c>
      <c r="D5" s="5" t="n">
        <f aca="false">COUNTIFS(Matriz!$B$2:$B$25,A5,Matriz!$G$2:$G$25,"Fallido")</f>
        <v>0</v>
      </c>
      <c r="E5" s="5" t="n">
        <f aca="false">COUNTIFS(Matriz!$B$2:$B$25,A5,Matriz!$G$2:$G$25,"Pendiente")</f>
        <v>3</v>
      </c>
    </row>
    <row r="6" customFormat="false" ht="15" hidden="false" customHeight="false" outlineLevel="0" collapsed="false">
      <c r="A6" s="5" t="s">
        <v>71</v>
      </c>
      <c r="B6" s="5" t="n">
        <f aca="false">COUNTIF(Matriz!$B$2:$B$25,A6)</f>
        <v>2</v>
      </c>
      <c r="C6" s="5" t="n">
        <f aca="false">COUNTIFS(Matriz!$B$2:$B$25,A6,Matriz!$G$2:$G$25,"Aprobado")</f>
        <v>0</v>
      </c>
      <c r="D6" s="5" t="n">
        <f aca="false">COUNTIFS(Matriz!$B$2:$B$25,A6,Matriz!$G$2:$G$25,"Fallido")</f>
        <v>0</v>
      </c>
      <c r="E6" s="5" t="n">
        <f aca="false">COUNTIFS(Matriz!$B$2:$B$25,A6,Matriz!$G$2:$G$25,"Pendiente")</f>
        <v>2</v>
      </c>
    </row>
    <row r="7" customFormat="false" ht="15" hidden="false" customHeight="false" outlineLevel="0" collapsed="false">
      <c r="A7" s="5" t="s">
        <v>82</v>
      </c>
      <c r="B7" s="5" t="n">
        <f aca="false">COUNTIF(Matriz!$B$2:$B$25,A7)</f>
        <v>1</v>
      </c>
      <c r="C7" s="5" t="n">
        <f aca="false">COUNTIFS(Matriz!$B$2:$B$25,A7,Matriz!$G$2:$G$25,"Aprobado")</f>
        <v>0</v>
      </c>
      <c r="D7" s="5" t="n">
        <f aca="false">COUNTIFS(Matriz!$B$2:$B$25,A7,Matriz!$G$2:$G$25,"Fallido")</f>
        <v>0</v>
      </c>
      <c r="E7" s="5" t="n">
        <f aca="false">COUNTIFS(Matriz!$B$2:$B$25,A7,Matriz!$G$2:$G$25,"Pendiente")</f>
        <v>1</v>
      </c>
    </row>
    <row r="8" customFormat="false" ht="15" hidden="false" customHeight="false" outlineLevel="0" collapsed="false">
      <c r="A8" s="5" t="s">
        <v>91</v>
      </c>
      <c r="B8" s="5" t="n">
        <f aca="false">COUNTIF(Matriz!$B$2:$B$25,A8)</f>
        <v>1</v>
      </c>
      <c r="C8" s="5" t="n">
        <f aca="false">COUNTIFS(Matriz!$B$2:$B$25,A8,Matriz!$G$2:$G$25,"Aprobado")</f>
        <v>0</v>
      </c>
      <c r="D8" s="5" t="n">
        <f aca="false">COUNTIFS(Matriz!$B$2:$B$25,A8,Matriz!$G$2:$G$25,"Fallido")</f>
        <v>0</v>
      </c>
      <c r="E8" s="5" t="n">
        <f aca="false">COUNTIFS(Matriz!$B$2:$B$25,A8,Matriz!$G$2:$G$25,"Pendiente")</f>
        <v>1</v>
      </c>
    </row>
    <row r="9" customFormat="false" ht="15" hidden="false" customHeight="false" outlineLevel="0" collapsed="false">
      <c r="A9" s="5" t="s">
        <v>100</v>
      </c>
      <c r="B9" s="5" t="n">
        <f aca="false">COUNTIF(Matriz!$B$2:$B$25,A9)</f>
        <v>1</v>
      </c>
      <c r="C9" s="5" t="n">
        <f aca="false">COUNTIFS(Matriz!$B$2:$B$25,A9,Matriz!$G$2:$G$25,"Aprobado")</f>
        <v>0</v>
      </c>
      <c r="D9" s="5" t="n">
        <f aca="false">COUNTIFS(Matriz!$B$2:$B$25,A9,Matriz!$G$2:$G$25,"Fallido")</f>
        <v>0</v>
      </c>
      <c r="E9" s="5" t="n">
        <f aca="false">COUNTIFS(Matriz!$B$2:$B$25,A9,Matriz!$G$2:$G$25,"Pendiente")</f>
        <v>1</v>
      </c>
    </row>
    <row r="10" customFormat="false" ht="15" hidden="false" customHeight="false" outlineLevel="0" collapsed="false">
      <c r="A10" s="5" t="s">
        <v>105</v>
      </c>
      <c r="B10" s="5" t="n">
        <f aca="false">COUNTIF(Matriz!$B$2:$B$25,A10)</f>
        <v>4</v>
      </c>
      <c r="C10" s="5" t="n">
        <f aca="false">COUNTIFS(Matriz!$B$2:$B$25,A10,Matriz!$G$2:$G$25,"Aprobado")</f>
        <v>0</v>
      </c>
      <c r="D10" s="5" t="n">
        <f aca="false">COUNTIFS(Matriz!$B$2:$B$25,A10,Matriz!$G$2:$G$25,"Fallido")</f>
        <v>0</v>
      </c>
      <c r="E10" s="5" t="n">
        <f aca="false">COUNTIFS(Matriz!$B$2:$B$25,A10,Matriz!$G$2:$G$25,"Pendiente")</f>
        <v>4</v>
      </c>
    </row>
    <row r="11" customFormat="false" ht="15" hidden="false" customHeight="false" outlineLevel="0" collapsed="false">
      <c r="A11" s="6" t="s">
        <v>125</v>
      </c>
      <c r="B11" s="6" t="n">
        <f aca="false">SUM(B2:B10)</f>
        <v>24</v>
      </c>
      <c r="C11" s="6" t="n">
        <f aca="false">SUM(C2:C10)</f>
        <v>0</v>
      </c>
      <c r="D11" s="6" t="n">
        <f aca="false">SUM(D2:D10)</f>
        <v>0</v>
      </c>
      <c r="E11" s="6" t="n">
        <f aca="false">SUM(E2:E10)</f>
        <v>24</v>
      </c>
    </row>
    <row r="13" customFormat="false" ht="15" hidden="false" customHeight="false" outlineLevel="0" collapsed="false">
      <c r="A13" s="0" t="s">
        <v>126</v>
      </c>
      <c r="B13" s="0" t="n">
        <f aca="false">C11+D11</f>
        <v>0</v>
      </c>
    </row>
    <row r="14" customFormat="false" ht="15" hidden="false" customHeight="false" outlineLevel="0" collapsed="false">
      <c r="A14" s="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7" t="s">
        <v>0</v>
      </c>
      <c r="B1" s="7" t="s">
        <v>128</v>
      </c>
      <c r="C1" s="7" t="s">
        <v>129</v>
      </c>
    </row>
    <row r="2" customFormat="false" ht="15" hidden="false" customHeight="false" outlineLevel="0" collapsed="false">
      <c r="A2" s="2" t="s">
        <v>8</v>
      </c>
      <c r="B2" s="2" t="s">
        <v>130</v>
      </c>
      <c r="C2" s="2" t="s">
        <v>131</v>
      </c>
    </row>
    <row r="3" customFormat="false" ht="15" hidden="false" customHeight="false" outlineLevel="0" collapsed="false">
      <c r="A3" s="2" t="s">
        <v>15</v>
      </c>
      <c r="B3" s="2" t="s">
        <v>132</v>
      </c>
      <c r="C3" s="2" t="s">
        <v>133</v>
      </c>
    </row>
    <row r="4" customFormat="false" ht="15" hidden="false" customHeight="false" outlineLevel="0" collapsed="false">
      <c r="A4" s="2" t="s">
        <v>20</v>
      </c>
      <c r="B4" s="2" t="s">
        <v>134</v>
      </c>
      <c r="C4" s="2" t="s">
        <v>135</v>
      </c>
    </row>
    <row r="5" customFormat="false" ht="15" hidden="false" customHeight="false" outlineLevel="0" collapsed="false">
      <c r="A5" s="2" t="s">
        <v>25</v>
      </c>
      <c r="B5" s="2" t="s">
        <v>136</v>
      </c>
      <c r="C5" s="2" t="s">
        <v>137</v>
      </c>
    </row>
    <row r="6" customFormat="false" ht="23.85" hidden="false" customHeight="false" outlineLevel="0" collapsed="false">
      <c r="A6" s="2" t="s">
        <v>30</v>
      </c>
      <c r="B6" s="2" t="s">
        <v>138</v>
      </c>
      <c r="C6" s="2" t="s">
        <v>139</v>
      </c>
    </row>
    <row r="7" customFormat="false" ht="15" hidden="false" customHeight="false" outlineLevel="0" collapsed="false">
      <c r="A7" s="2" t="s">
        <v>35</v>
      </c>
      <c r="B7" s="2" t="s">
        <v>140</v>
      </c>
      <c r="C7" s="2" t="s">
        <v>141</v>
      </c>
    </row>
    <row r="8" customFormat="false" ht="15" hidden="false" customHeight="false" outlineLevel="0" collapsed="false">
      <c r="A8" s="2" t="s">
        <v>39</v>
      </c>
      <c r="B8" s="2" t="s">
        <v>142</v>
      </c>
      <c r="C8" s="2" t="s">
        <v>143</v>
      </c>
    </row>
    <row r="9" customFormat="false" ht="15" hidden="false" customHeight="false" outlineLevel="0" collapsed="false">
      <c r="A9" s="2" t="s">
        <v>43</v>
      </c>
      <c r="B9" s="2" t="s">
        <v>144</v>
      </c>
      <c r="C9" s="2" t="s">
        <v>145</v>
      </c>
    </row>
    <row r="10" customFormat="false" ht="23.85" hidden="false" customHeight="false" outlineLevel="0" collapsed="false">
      <c r="A10" s="2" t="s">
        <v>47</v>
      </c>
      <c r="B10" s="2" t="s">
        <v>51</v>
      </c>
      <c r="C10" s="2" t="s">
        <v>51</v>
      </c>
    </row>
    <row r="11" customFormat="false" ht="15" hidden="false" customHeight="false" outlineLevel="0" collapsed="false">
      <c r="A11" s="2" t="s">
        <v>52</v>
      </c>
      <c r="B11" s="2" t="s">
        <v>146</v>
      </c>
      <c r="C11" s="2" t="s">
        <v>147</v>
      </c>
    </row>
    <row r="12" customFormat="false" ht="23.85" hidden="false" customHeight="false" outlineLevel="0" collapsed="false">
      <c r="A12" s="2" t="s">
        <v>56</v>
      </c>
      <c r="B12" s="2" t="s">
        <v>59</v>
      </c>
      <c r="C12" s="2" t="s">
        <v>59</v>
      </c>
    </row>
    <row r="13" customFormat="false" ht="15" hidden="false" customHeight="false" outlineLevel="0" collapsed="false">
      <c r="A13" s="2" t="s">
        <v>60</v>
      </c>
      <c r="B13" s="2" t="s">
        <v>148</v>
      </c>
      <c r="C13" s="2" t="s">
        <v>149</v>
      </c>
    </row>
    <row r="14" customFormat="false" ht="15" hidden="false" customHeight="false" outlineLevel="0" collapsed="false">
      <c r="A14" s="2" t="s">
        <v>65</v>
      </c>
      <c r="B14" s="2" t="s">
        <v>150</v>
      </c>
      <c r="C14" s="2" t="s">
        <v>151</v>
      </c>
    </row>
    <row r="15" customFormat="false" ht="23.85" hidden="false" customHeight="false" outlineLevel="0" collapsed="false">
      <c r="A15" s="2" t="s">
        <v>70</v>
      </c>
      <c r="B15" s="2" t="s">
        <v>75</v>
      </c>
      <c r="C15" s="2" t="s">
        <v>75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80</v>
      </c>
    </row>
    <row r="17" customFormat="false" ht="23.85" hidden="false" customHeight="false" outlineLevel="0" collapsed="false">
      <c r="A17" s="2" t="s">
        <v>81</v>
      </c>
      <c r="B17" s="2" t="s">
        <v>85</v>
      </c>
      <c r="C17" s="2" t="s">
        <v>85</v>
      </c>
    </row>
    <row r="18" customFormat="false" ht="15" hidden="false" customHeight="false" outlineLevel="0" collapsed="false">
      <c r="A18" s="2" t="s">
        <v>86</v>
      </c>
      <c r="B18" s="2" t="s">
        <v>152</v>
      </c>
      <c r="C18" s="2" t="s">
        <v>153</v>
      </c>
    </row>
    <row r="19" customFormat="false" ht="23.85" hidden="false" customHeight="false" outlineLevel="0" collapsed="false">
      <c r="A19" s="2" t="s">
        <v>90</v>
      </c>
      <c r="B19" s="2" t="s">
        <v>94</v>
      </c>
      <c r="C19" s="2" t="s">
        <v>94</v>
      </c>
    </row>
    <row r="20" customFormat="false" ht="15" hidden="false" customHeight="false" outlineLevel="0" collapsed="false">
      <c r="A20" s="2" t="s">
        <v>95</v>
      </c>
      <c r="B20" s="2" t="s">
        <v>154</v>
      </c>
      <c r="C20" s="2" t="s">
        <v>155</v>
      </c>
    </row>
    <row r="21" customFormat="false" ht="15" hidden="false" customHeight="false" outlineLevel="0" collapsed="false">
      <c r="A21" s="2" t="s">
        <v>99</v>
      </c>
      <c r="B21" s="2" t="s">
        <v>156</v>
      </c>
      <c r="C21" s="2" t="s">
        <v>157</v>
      </c>
    </row>
    <row r="22" customFormat="false" ht="15" hidden="false" customHeight="false" outlineLevel="0" collapsed="false">
      <c r="A22" s="2" t="s">
        <v>104</v>
      </c>
      <c r="B22" s="2" t="s">
        <v>158</v>
      </c>
      <c r="C22" s="2" t="s">
        <v>159</v>
      </c>
    </row>
    <row r="23" customFormat="false" ht="15" hidden="false" customHeight="false" outlineLevel="0" collapsed="false">
      <c r="A23" s="2" t="s">
        <v>109</v>
      </c>
      <c r="B23" s="2" t="s">
        <v>160</v>
      </c>
      <c r="C23" s="2" t="s">
        <v>161</v>
      </c>
    </row>
    <row r="24" customFormat="false" ht="15" hidden="false" customHeight="false" outlineLevel="0" collapsed="false">
      <c r="A24" s="2" t="s">
        <v>113</v>
      </c>
      <c r="B24" s="2" t="s">
        <v>162</v>
      </c>
      <c r="C24" s="2" t="s">
        <v>163</v>
      </c>
    </row>
    <row r="25" customFormat="false" ht="15" hidden="false" customHeight="false" outlineLevel="0" collapsed="false">
      <c r="A25" s="2" t="s">
        <v>117</v>
      </c>
      <c r="B25" s="2" t="s">
        <v>164</v>
      </c>
      <c r="C25" s="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8" t="s">
        <v>166</v>
      </c>
    </row>
    <row r="2" customFormat="false" ht="15" hidden="false" customHeight="false" outlineLevel="0" collapsed="false">
      <c r="A2" s="9" t="s">
        <v>167</v>
      </c>
    </row>
    <row r="3" customFormat="false" ht="15" hidden="false" customHeight="false" outlineLevel="0" collapsed="false">
      <c r="A3" s="9" t="s">
        <v>168</v>
      </c>
    </row>
    <row r="4" customFormat="false" ht="15" hidden="false" customHeight="false" outlineLevel="0" collapsed="false">
      <c r="A4" s="9" t="s">
        <v>169</v>
      </c>
    </row>
    <row r="5" customFormat="false" ht="15" hidden="false" customHeight="false" outlineLevel="0" collapsed="false">
      <c r="A5" s="9" t="s">
        <v>170</v>
      </c>
    </row>
    <row r="6" customFormat="false" ht="15" hidden="false" customHeight="false" outlineLevel="0" collapsed="false">
      <c r="A6" s="9" t="s">
        <v>171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8" t="s">
        <v>172</v>
      </c>
    </row>
    <row r="9" customFormat="false" ht="23.85" hidden="false" customHeight="false" outlineLevel="0" collapsed="false">
      <c r="A9" s="9" t="s">
        <v>173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8" t="s">
        <v>174</v>
      </c>
    </row>
    <row r="12" customFormat="false" ht="15" hidden="false" customHeight="false" outlineLevel="0" collapsed="false">
      <c r="A12" s="9" t="s">
        <v>175</v>
      </c>
    </row>
    <row r="13" customFormat="false" ht="15" hidden="false" customHeight="false" outlineLevel="0" collapsed="false">
      <c r="A13" s="9" t="s">
        <v>176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8" t="s">
        <v>177</v>
      </c>
    </row>
    <row r="16" customFormat="false" ht="23.85" hidden="false" customHeight="false" outlineLevel="0" collapsed="false">
      <c r="A16" s="9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2026-10-25T15:10:28Z</dcterms:created>
  <dc:creator>openpyxl</dc:creator>
  <dc:description/>
  <dc:language>en-US</dc:language>
  <cp:lastModifiedBy/>
  <dcterms:modified xsi:type="dcterms:W3CDTF">2026-10-25T15:10:28Z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